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项目数据分析（总）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L10"/>
  <sheetViews>
    <sheetView workbookViewId="0"/>
  </sheetViews>
  <sheetData>
    <row r="2">
      <c r="A2" t="str">
        <v>兑换单类型</v>
      </c>
      <c r="B2" t="str">
        <v>成本税率</v>
      </c>
      <c r="C2" t="str">
        <v>项目税率</v>
      </c>
      <c r="D2" t="str">
        <v>兑换单数</v>
      </c>
      <c r="E2" t="str">
        <v>兑换量占比</v>
      </c>
      <c r="F2" t="str">
        <v>兑换金额（含税）</v>
      </c>
      <c r="G2" t="str">
        <v>兑换金额（不含税）</v>
      </c>
      <c r="H2" t="str">
        <v>金额占比</v>
      </c>
      <c r="I2" t="str">
        <v>成本（含税）</v>
      </c>
      <c r="J2" t="str">
        <v>成本（不含税）</v>
      </c>
      <c r="K2" t="str">
        <v>利润率</v>
      </c>
      <c r="L2" t="str">
        <v>平均动销成本折扣(含税)</v>
      </c>
    </row>
    <row r="3">
      <c r="A3" t="str">
        <v>权益订单</v>
      </c>
      <c r="B3">
        <v>0.06</v>
      </c>
      <c r="C3">
        <v>0.06</v>
      </c>
    </row>
    <row r="4">
      <c r="A4" t="str">
        <v>纸书订单</v>
      </c>
      <c r="B4">
        <v>0</v>
      </c>
      <c r="C4">
        <v>0.06</v>
      </c>
      <c r="D4" s="1">
        <v>356</v>
      </c>
      <c r="E4">
        <f>D4/D10</f>
      </c>
      <c r="F4" s="2">
        <v>68712.1</v>
      </c>
      <c r="G4">
        <f>F4/(1+C4)</f>
      </c>
      <c r="H4">
        <f>F4/F10</f>
      </c>
      <c r="I4" s="2">
        <v>56441.83</v>
      </c>
      <c r="J4">
        <f>I4/(1+B4)</f>
      </c>
      <c r="K4">
        <f>(G4-J4)/G4</f>
      </c>
      <c r="L4" s="3">
        <v>0.5421</v>
      </c>
    </row>
    <row r="5">
      <c r="A5" t="str">
        <v>文创</v>
      </c>
      <c r="B5">
        <v>0.13</v>
      </c>
      <c r="C5">
        <v>0.06</v>
      </c>
      <c r="D5" s="1">
        <v>4801</v>
      </c>
      <c r="E5">
        <f>D5/D10</f>
      </c>
      <c r="F5" s="2">
        <v>372535.83</v>
      </c>
      <c r="G5">
        <f>F5/(1+C5)</f>
      </c>
      <c r="H5">
        <f>F5/F10</f>
      </c>
      <c r="I5" s="2">
        <v>322081.88</v>
      </c>
      <c r="J5">
        <f>I5/(1+B5)</f>
      </c>
      <c r="K5">
        <f>(G5-J5)/G5</f>
      </c>
      <c r="L5" s="3">
        <v>0.4593</v>
      </c>
    </row>
    <row r="6">
      <c r="A6" t="str">
        <v>电子书/有声书成本</v>
      </c>
      <c r="B6" t="str">
        <v/>
      </c>
      <c r="C6" t="str">
        <v/>
      </c>
      <c r="F6">
        <v>0</v>
      </c>
      <c r="G6">
        <v>0</v>
      </c>
      <c r="I6">
        <v>0</v>
      </c>
      <c r="J6">
        <v>0</v>
      </c>
    </row>
    <row r="7">
      <c r="A7" t="str">
        <v>活动成本</v>
      </c>
      <c r="B7" t="str">
        <v/>
      </c>
      <c r="C7" t="str">
        <v/>
      </c>
      <c r="F7">
        <v>0</v>
      </c>
      <c r="G7">
        <v>0</v>
      </c>
      <c r="I7">
        <v>0</v>
      </c>
      <c r="J7">
        <v>0</v>
      </c>
    </row>
    <row r="8">
      <c r="A8" t="str">
        <v>其他：</v>
      </c>
      <c r="B8" t="str">
        <v/>
      </c>
      <c r="C8" t="str">
        <v/>
      </c>
      <c r="F8">
        <v>0</v>
      </c>
      <c r="G8">
        <v>0</v>
      </c>
      <c r="I8">
        <v>0</v>
      </c>
      <c r="J8">
        <v>1800</v>
      </c>
    </row>
    <row r="9">
      <c r="A9" t="str">
        <v>总</v>
      </c>
      <c r="B9" t="str">
        <v/>
      </c>
      <c r="C9">
        <v>0.06</v>
      </c>
    </row>
    <row r="10">
      <c r="D10">
        <f>D4+D5</f>
      </c>
      <c r="F10">
        <f>SUM(F4:F9)</f>
      </c>
      <c r="G10">
        <f>SUM(G4:G9)</f>
      </c>
      <c r="I10">
        <f>SUM(I4:I9)</f>
      </c>
      <c r="J10">
        <f>SUM(J4:J9)</f>
      </c>
      <c r="K10">
        <f>(G10-J10)/G10</f>
      </c>
    </row>
  </sheetData>
  <ignoredErrors>
    <ignoredError numberStoredAsText="1" sqref="A2:L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项目数据分析（总）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